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uter Architecture\S12-P3\Report Tables\"/>
    </mc:Choice>
  </mc:AlternateContent>
  <xr:revisionPtr revIDLastSave="0" documentId="13_ncr:1_{ABEFEFEF-0635-4A2B-82E5-167B9BA66249}" xr6:coauthVersionLast="47" xr6:coauthVersionMax="47" xr10:uidLastSave="{00000000-0000-0000-0000-000000000000}"/>
  <bookViews>
    <workbookView xWindow="-28920" yWindow="-120" windowWidth="29040" windowHeight="15720" xr2:uid="{2D0E3C1B-C2D3-4540-B20F-8C5CEC70A31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P32" i="1"/>
  <c r="Q32" i="1"/>
  <c r="O33" i="1"/>
  <c r="P33" i="1"/>
  <c r="Q33" i="1"/>
  <c r="O34" i="1"/>
  <c r="P34" i="1"/>
  <c r="Q34" i="1"/>
  <c r="O35" i="1"/>
  <c r="P35" i="1"/>
  <c r="Q35" i="1"/>
  <c r="P31" i="1"/>
  <c r="Q31" i="1"/>
  <c r="O31" i="1"/>
  <c r="O23" i="1"/>
  <c r="P23" i="1"/>
  <c r="Q23" i="1"/>
  <c r="O24" i="1"/>
  <c r="P24" i="1"/>
  <c r="Q24" i="1"/>
  <c r="O25" i="1"/>
  <c r="P25" i="1"/>
  <c r="Q25" i="1"/>
  <c r="O26" i="1"/>
  <c r="P26" i="1"/>
  <c r="Q26" i="1"/>
  <c r="P22" i="1"/>
  <c r="Q22" i="1"/>
  <c r="O22" i="1"/>
  <c r="O14" i="1"/>
  <c r="P14" i="1"/>
  <c r="Q14" i="1"/>
  <c r="O15" i="1"/>
  <c r="P15" i="1"/>
  <c r="Q15" i="1"/>
  <c r="O16" i="1"/>
  <c r="P16" i="1"/>
  <c r="Q16" i="1"/>
  <c r="O17" i="1"/>
  <c r="P17" i="1"/>
  <c r="Q17" i="1"/>
  <c r="P13" i="1"/>
  <c r="Q13" i="1"/>
  <c r="O13" i="1"/>
  <c r="O5" i="1"/>
  <c r="P5" i="1"/>
  <c r="Q5" i="1"/>
  <c r="O6" i="1"/>
  <c r="P6" i="1"/>
  <c r="Q6" i="1"/>
  <c r="O7" i="1"/>
  <c r="P7" i="1"/>
  <c r="Q7" i="1"/>
  <c r="O8" i="1"/>
  <c r="P8" i="1"/>
  <c r="Q8" i="1"/>
  <c r="P4" i="1"/>
  <c r="Q4" i="1"/>
  <c r="O4" i="1"/>
  <c r="I83" i="1"/>
  <c r="H83" i="1"/>
  <c r="G83" i="1"/>
  <c r="F83" i="1"/>
  <c r="E72" i="1"/>
  <c r="G72" i="1" s="1"/>
  <c r="E71" i="1"/>
  <c r="G71" i="1" s="1"/>
  <c r="E70" i="1"/>
  <c r="G70" i="1" s="1"/>
  <c r="E69" i="1"/>
  <c r="G69" i="1" s="1"/>
  <c r="E68" i="1"/>
  <c r="G68" i="1" s="1"/>
  <c r="E63" i="1"/>
  <c r="G63" i="1" s="1"/>
  <c r="E62" i="1"/>
  <c r="G62" i="1" s="1"/>
  <c r="E61" i="1"/>
  <c r="G61" i="1" s="1"/>
  <c r="E60" i="1"/>
  <c r="G60" i="1" s="1"/>
  <c r="E59" i="1"/>
  <c r="G59" i="1" s="1"/>
  <c r="E54" i="1"/>
  <c r="G54" i="1" s="1"/>
  <c r="E53" i="1"/>
  <c r="G53" i="1" s="1"/>
  <c r="E52" i="1"/>
  <c r="G52" i="1" s="1"/>
  <c r="E51" i="1"/>
  <c r="G51" i="1" s="1"/>
  <c r="E50" i="1"/>
  <c r="G50" i="1" s="1"/>
  <c r="E45" i="1"/>
  <c r="G45" i="1" s="1"/>
  <c r="E44" i="1"/>
  <c r="G44" i="1" s="1"/>
  <c r="E43" i="1"/>
  <c r="G43" i="1" s="1"/>
  <c r="E42" i="1"/>
  <c r="G42" i="1" s="1"/>
  <c r="E41" i="1"/>
  <c r="G41" i="1" s="1"/>
  <c r="J31" i="1"/>
  <c r="S31" i="1" s="1"/>
  <c r="I35" i="1"/>
  <c r="I34" i="1"/>
  <c r="I33" i="1"/>
  <c r="I32" i="1"/>
  <c r="H35" i="1"/>
  <c r="H34" i="1"/>
  <c r="H33" i="1"/>
  <c r="H32" i="1"/>
  <c r="F35" i="1"/>
  <c r="F34" i="1"/>
  <c r="F33" i="1"/>
  <c r="E35" i="1"/>
  <c r="E34" i="1"/>
  <c r="E33" i="1"/>
  <c r="E32" i="1"/>
  <c r="J32" i="1" s="1"/>
  <c r="T32" i="1" s="1"/>
  <c r="I26" i="1"/>
  <c r="I25" i="1"/>
  <c r="I24" i="1"/>
  <c r="H26" i="1"/>
  <c r="H25" i="1"/>
  <c r="H24" i="1"/>
  <c r="H23" i="1"/>
  <c r="F26" i="1"/>
  <c r="F25" i="1"/>
  <c r="F24" i="1"/>
  <c r="E26" i="1"/>
  <c r="E25" i="1"/>
  <c r="E24" i="1"/>
  <c r="E23" i="1"/>
  <c r="J22" i="1"/>
  <c r="S22" i="1" s="1"/>
  <c r="J15" i="1"/>
  <c r="T15" i="1" s="1"/>
  <c r="J14" i="1"/>
  <c r="R14" i="1" s="1"/>
  <c r="J16" i="1"/>
  <c r="R16" i="1" s="1"/>
  <c r="J17" i="1"/>
  <c r="R17" i="1" s="1"/>
  <c r="J13" i="1"/>
  <c r="S13" i="1" s="1"/>
  <c r="J4" i="1"/>
  <c r="T4" i="1" s="1"/>
  <c r="H8" i="1"/>
  <c r="H7" i="1"/>
  <c r="H6" i="1"/>
  <c r="H5" i="1"/>
  <c r="J5" i="1" s="1"/>
  <c r="T5" i="1" s="1"/>
  <c r="G8" i="1"/>
  <c r="E8" i="1"/>
  <c r="E7" i="1"/>
  <c r="E6" i="1"/>
  <c r="J34" i="1" l="1"/>
  <c r="T34" i="1" s="1"/>
  <c r="J35" i="1"/>
  <c r="T35" i="1" s="1"/>
  <c r="S34" i="1"/>
  <c r="R32" i="1"/>
  <c r="J33" i="1"/>
  <c r="T33" i="1" s="1"/>
  <c r="R34" i="1"/>
  <c r="R35" i="1"/>
  <c r="S33" i="1"/>
  <c r="S32" i="1"/>
  <c r="T14" i="1"/>
  <c r="S5" i="1"/>
  <c r="S15" i="1"/>
  <c r="S4" i="1"/>
  <c r="R5" i="1"/>
  <c r="R15" i="1"/>
  <c r="T13" i="1"/>
  <c r="R13" i="1"/>
  <c r="S14" i="1"/>
  <c r="T22" i="1"/>
  <c r="R4" i="1"/>
  <c r="T31" i="1"/>
  <c r="S17" i="1"/>
  <c r="R22" i="1"/>
  <c r="T17" i="1"/>
  <c r="J23" i="1"/>
  <c r="R23" i="1" s="1"/>
  <c r="T16" i="1"/>
  <c r="S16" i="1"/>
  <c r="R31" i="1"/>
  <c r="J25" i="1"/>
  <c r="T25" i="1" s="1"/>
  <c r="J26" i="1"/>
  <c r="T26" i="1" s="1"/>
  <c r="J24" i="1"/>
  <c r="T24" i="1" s="1"/>
  <c r="J7" i="1"/>
  <c r="R7" i="1" s="1"/>
  <c r="J8" i="1"/>
  <c r="R8" i="1" s="1"/>
  <c r="J6" i="1"/>
  <c r="R6" i="1" s="1"/>
  <c r="S35" i="1" l="1"/>
  <c r="R33" i="1"/>
  <c r="R24" i="1"/>
  <c r="S25" i="1"/>
  <c r="S26" i="1"/>
  <c r="S6" i="1"/>
  <c r="T6" i="1"/>
  <c r="T8" i="1"/>
  <c r="S8" i="1"/>
  <c r="S23" i="1"/>
  <c r="T23" i="1"/>
  <c r="R25" i="1"/>
  <c r="S24" i="1"/>
  <c r="T7" i="1"/>
  <c r="S7" i="1"/>
  <c r="R26" i="1"/>
</calcChain>
</file>

<file path=xl/sharedStrings.xml><?xml version="1.0" encoding="utf-8"?>
<sst xmlns="http://schemas.openxmlformats.org/spreadsheetml/2006/main" count="103" uniqueCount="23">
  <si>
    <t>Speed Optimized Multiplication</t>
  </si>
  <si>
    <t>N</t>
  </si>
  <si>
    <t>JMP</t>
  </si>
  <si>
    <t>JN</t>
  </si>
  <si>
    <t>JZ</t>
  </si>
  <si>
    <t>STORE</t>
  </si>
  <si>
    <t>STOREI</t>
  </si>
  <si>
    <t>Memory Optimized Multiplication</t>
  </si>
  <si>
    <t>Speed Optimized Factorial</t>
  </si>
  <si>
    <t>Total Stalls</t>
  </si>
  <si>
    <t>Number of Stalls Caused by Operation Type</t>
  </si>
  <si>
    <t>Space Optimized Factorial</t>
  </si>
  <si>
    <t>Percentage of Stalls Caused by Operation Type</t>
  </si>
  <si>
    <t>New</t>
  </si>
  <si>
    <t xml:space="preserve">Old </t>
  </si>
  <si>
    <t>CPI</t>
  </si>
  <si>
    <t>% Improvement</t>
  </si>
  <si>
    <t>Speed Multiply</t>
  </si>
  <si>
    <t>Space Multiply</t>
  </si>
  <si>
    <t>Speed Factorial</t>
  </si>
  <si>
    <t>Space Factorial</t>
  </si>
  <si>
    <t>Percentage of Time Spend Stalling By Benchmark (Old Pipeline)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</si>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</sst>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0.000"/>
  </numFmts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name val="Liberation Sans"/>
    </font>
    <font>
      <b/>
      <sz val="12"/>
      <color theme="1"/>
      <name val="Liberation Sans"/>
    </font>
    <font>
      <b/>
      <sz val="11"/>
      <color theme="1"/>
      <name val="Liberation Sans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6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0" fillId="0" borderId="3" xfId="0" applyBorder="1"/>
    <xf numFmtId="0" fontId="2" fillId="13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/>
    </xf>
    <xf numFmtId="0" fontId="0" fillId="0" borderId="0" xfId="0" applyBorder="1"/>
    <xf numFmtId="169" fontId="0" fillId="0" borderId="2" xfId="0" applyNumberFormat="1" applyBorder="1"/>
    <xf numFmtId="170" fontId="0" fillId="0" borderId="2" xfId="0" applyNumberFormat="1" applyBorder="1"/>
    <xf numFmtId="2" fontId="0" fillId="0" borderId="2" xfId="0" applyNumberFormat="1" applyBorder="1"/>
    <xf numFmtId="0" fontId="2" fillId="16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4" fillId="12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14" fillId="14" borderId="2" xfId="0" applyFont="1" applyFill="1" applyBorder="1" applyAlignment="1">
      <alignment horizontal="center"/>
    </xf>
    <xf numFmtId="0" fontId="14" fillId="16" borderId="2" xfId="0" applyFont="1" applyFill="1" applyBorder="1" applyAlignment="1">
      <alignment horizontal="center"/>
    </xf>
    <xf numFmtId="169" fontId="0" fillId="0" borderId="2" xfId="0" applyNumberFormat="1" applyBorder="1" applyAlignment="1">
      <alignment vertical="center"/>
    </xf>
    <xf numFmtId="170" fontId="0" fillId="0" borderId="2" xfId="0" applyNumberFormat="1" applyBorder="1" applyAlignment="1">
      <alignment vertical="center"/>
    </xf>
    <xf numFmtId="0" fontId="2" fillId="13" borderId="9" xfId="0" applyFont="1" applyFill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0" fontId="2" fillId="17" borderId="10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 vertical="center" textRotation="90" wrapText="1"/>
    </xf>
    <xf numFmtId="0" fontId="15" fillId="9" borderId="4" xfId="0" applyFont="1" applyFill="1" applyBorder="1" applyAlignment="1">
      <alignment horizontal="center" vertical="center" textRotation="90" wrapText="1"/>
    </xf>
    <xf numFmtId="0" fontId="15" fillId="9" borderId="12" xfId="0" applyFont="1" applyFill="1" applyBorder="1" applyAlignment="1">
      <alignment horizontal="center" vertical="center" textRotation="90" wrapText="1"/>
    </xf>
    <xf numFmtId="0" fontId="15" fillId="9" borderId="13" xfId="0" applyFont="1" applyFill="1" applyBorder="1" applyAlignment="1">
      <alignment horizontal="center" vertical="center" textRotation="90" wrapText="1"/>
    </xf>
    <xf numFmtId="0" fontId="15" fillId="9" borderId="5" xfId="0" applyFont="1" applyFill="1" applyBorder="1" applyAlignment="1">
      <alignment horizontal="center" vertical="center" textRotation="90" wrapText="1"/>
    </xf>
    <xf numFmtId="0" fontId="15" fillId="9" borderId="14" xfId="0" applyFont="1" applyFill="1" applyBorder="1" applyAlignment="1">
      <alignment horizontal="center" vertical="center" textRotation="90" wrapText="1"/>
    </xf>
    <xf numFmtId="0" fontId="15" fillId="9" borderId="7" xfId="0" applyFont="1" applyFill="1" applyBorder="1" applyAlignment="1">
      <alignment horizontal="center" vertical="center" textRotation="90" wrapText="1"/>
    </xf>
    <xf numFmtId="0" fontId="15" fillId="9" borderId="8" xfId="0" applyFont="1" applyFill="1" applyBorder="1" applyAlignment="1">
      <alignment horizontal="center" vertical="center" textRotation="90" wrapText="1"/>
    </xf>
    <xf numFmtId="0" fontId="16" fillId="18" borderId="9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right"/>
    </xf>
    <xf numFmtId="2" fontId="0" fillId="9" borderId="2" xfId="0" applyNumberFormat="1" applyFill="1" applyBorder="1"/>
    <xf numFmtId="2" fontId="0" fillId="0" borderId="3" xfId="0" applyNumberFormat="1" applyBorder="1"/>
  </cellXfs>
  <cellStyles count="20">
    <cellStyle name="Accent" xfId="7" xr:uid="{4A099E28-B983-49B6-92E6-D04A80DC796C}"/>
    <cellStyle name="Accent 1" xfId="8" xr:uid="{5A627DCD-AB66-4A49-9A7B-D739DA9F454D}"/>
    <cellStyle name="Accent 2" xfId="9" xr:uid="{7D1C4048-1501-467F-862A-98584261DC35}"/>
    <cellStyle name="Accent 3" xfId="10" xr:uid="{CFF3C450-AF00-4981-A2CE-09203F0A04E2}"/>
    <cellStyle name="Bad" xfId="4" builtinId="27" customBuiltin="1"/>
    <cellStyle name="Default" xfId="11" xr:uid="{19FCC81E-1E7E-4FDA-98FD-8B6A5FC46449}"/>
    <cellStyle name="Error" xfId="12" xr:uid="{603F23B4-20F4-4FA7-8D15-30E00EE4A409}"/>
    <cellStyle name="Footnote" xfId="13" xr:uid="{AA5B47E8-6D1F-4E79-B2C9-D108FD0A4D80}"/>
    <cellStyle name="Good" xfId="3" builtinId="26" customBuiltin="1"/>
    <cellStyle name="Heading" xfId="14" xr:uid="{E2102023-F048-4F77-A43D-92C008929D1D}"/>
    <cellStyle name="Heading 1" xfId="1" builtinId="16" customBuiltin="1"/>
    <cellStyle name="Heading 2" xfId="2" builtinId="17" customBuiltin="1"/>
    <cellStyle name="Hyperlink" xfId="15" xr:uid="{C71485AA-2332-4AD5-9B58-0F908EAA1847}"/>
    <cellStyle name="Neutral" xfId="5" builtinId="28" customBuiltin="1"/>
    <cellStyle name="Normal" xfId="0" builtinId="0" customBuiltin="1"/>
    <cellStyle name="Note" xfId="6" builtinId="10" customBuiltin="1"/>
    <cellStyle name="Result" xfId="16" xr:uid="{74BF9272-2D18-4346-B514-F82B7C46137A}"/>
    <cellStyle name="Status" xfId="17" xr:uid="{70E81471-3D37-43C7-877C-11EEEC38DF1B}"/>
    <cellStyle name="Text" xfId="18" xr:uid="{CE476ABF-6C3B-4E45-9EC8-B972364055BA}"/>
    <cellStyle name="Warning" xfId="19" xr:uid="{4E66B92C-726B-4817-908B-45755C97C1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3FFE-A413-4C62-86D2-A07C1FA66F6F}">
  <dimension ref="B2:AB83"/>
  <sheetViews>
    <sheetView showGridLines="0" tabSelected="1" topLeftCell="A31" zoomScale="85" zoomScaleNormal="85" workbookViewId="0">
      <selection activeCell="R41" sqref="R41"/>
    </sheetView>
  </sheetViews>
  <sheetFormatPr defaultRowHeight="12.75"/>
  <cols>
    <col min="3" max="3" width="3.28515625" customWidth="1"/>
    <col min="4" max="4" width="7.28515625" customWidth="1"/>
    <col min="5" max="5" width="12.140625" customWidth="1"/>
    <col min="6" max="6" width="17.7109375" customWidth="1"/>
    <col min="7" max="7" width="19" customWidth="1"/>
    <col min="8" max="8" width="20.7109375" customWidth="1"/>
    <col min="9" max="9" width="19.85546875" customWidth="1"/>
    <col min="10" max="10" width="12.140625" customWidth="1"/>
    <col min="11" max="11" width="21.7109375" customWidth="1"/>
    <col min="12" max="12" width="10" customWidth="1"/>
    <col min="13" max="13" width="4.28515625" customWidth="1"/>
    <col min="14" max="14" width="7.140625" customWidth="1"/>
    <col min="15" max="15" width="9.140625" customWidth="1"/>
    <col min="16" max="16" width="11" customWidth="1"/>
    <col min="17" max="17" width="11.28515625" customWidth="1"/>
    <col min="18" max="18" width="16.5703125" customWidth="1"/>
    <col min="19" max="19" width="15.7109375" customWidth="1"/>
    <col min="20" max="20" width="13" customWidth="1"/>
    <col min="21" max="21" width="16.5703125" customWidth="1"/>
    <col min="22" max="29" width="12.140625" customWidth="1"/>
  </cols>
  <sheetData>
    <row r="2" spans="2:28" s="4" customFormat="1" ht="12.75" customHeight="1">
      <c r="B2" s="49" t="s">
        <v>0</v>
      </c>
      <c r="C2" s="50"/>
      <c r="E2" s="13" t="s">
        <v>10</v>
      </c>
      <c r="F2" s="14"/>
      <c r="G2" s="14"/>
      <c r="H2" s="14"/>
      <c r="I2" s="15"/>
      <c r="L2" s="49" t="s">
        <v>0</v>
      </c>
      <c r="M2" s="50"/>
      <c r="O2" s="7" t="s">
        <v>12</v>
      </c>
      <c r="P2" s="7"/>
      <c r="Q2" s="7"/>
      <c r="R2" s="7"/>
      <c r="S2" s="7"/>
      <c r="T2" s="7"/>
      <c r="U2"/>
      <c r="V2"/>
      <c r="X2" s="5"/>
      <c r="Y2" s="5"/>
      <c r="Z2" s="5"/>
      <c r="AA2" s="5"/>
      <c r="AB2" s="5"/>
    </row>
    <row r="3" spans="2:28" s="3" customFormat="1" ht="12.75" customHeight="1">
      <c r="B3" s="51"/>
      <c r="C3" s="52"/>
      <c r="D3" s="9" t="s">
        <v>1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9</v>
      </c>
      <c r="L3" s="51"/>
      <c r="M3" s="52"/>
      <c r="N3" s="9" t="s">
        <v>1</v>
      </c>
      <c r="O3" s="9" t="s">
        <v>2</v>
      </c>
      <c r="P3" s="9" t="s">
        <v>3</v>
      </c>
      <c r="Q3" s="9" t="s">
        <v>4</v>
      </c>
      <c r="R3" s="8" t="s">
        <v>5</v>
      </c>
      <c r="S3" s="8" t="s">
        <v>6</v>
      </c>
      <c r="T3" s="8" t="s">
        <v>9</v>
      </c>
    </row>
    <row r="4" spans="2:28" ht="12.75" customHeight="1">
      <c r="B4" s="51"/>
      <c r="C4" s="52"/>
      <c r="D4" s="10">
        <v>1</v>
      </c>
      <c r="E4" s="6">
        <v>0</v>
      </c>
      <c r="F4" s="6">
        <v>0</v>
      </c>
      <c r="G4" s="6">
        <v>4</v>
      </c>
      <c r="H4" s="6">
        <v>8</v>
      </c>
      <c r="I4" s="6">
        <v>0</v>
      </c>
      <c r="J4" s="6">
        <f>SUM(E4:I4)</f>
        <v>12</v>
      </c>
      <c r="L4" s="51"/>
      <c r="M4" s="52"/>
      <c r="N4" s="10">
        <v>1</v>
      </c>
      <c r="O4" s="61">
        <f>100*E4/$J4</f>
        <v>0</v>
      </c>
      <c r="P4" s="61">
        <f t="shared" ref="P4:Q4" si="0">100*F4/$J4</f>
        <v>0</v>
      </c>
      <c r="Q4" s="61">
        <f t="shared" si="0"/>
        <v>33.333333333333336</v>
      </c>
      <c r="R4" s="30">
        <f>H4*100/$J4</f>
        <v>66.666666666666671</v>
      </c>
      <c r="S4" s="30">
        <f>I4*100/$J4</f>
        <v>0</v>
      </c>
      <c r="T4" s="6">
        <f>J4</f>
        <v>12</v>
      </c>
      <c r="Z4" s="1"/>
      <c r="AA4" s="1"/>
    </row>
    <row r="5" spans="2:28">
      <c r="B5" s="51"/>
      <c r="C5" s="52"/>
      <c r="D5" s="10">
        <v>2</v>
      </c>
      <c r="E5" s="6">
        <v>36</v>
      </c>
      <c r="F5" s="6">
        <v>0</v>
      </c>
      <c r="G5" s="6">
        <v>32</v>
      </c>
      <c r="H5" s="6">
        <f>36*4</f>
        <v>144</v>
      </c>
      <c r="I5" s="6">
        <v>0</v>
      </c>
      <c r="J5" s="6">
        <f t="shared" ref="J5:J8" si="1">SUM(E5:I5)</f>
        <v>212</v>
      </c>
      <c r="L5" s="51"/>
      <c r="M5" s="52"/>
      <c r="N5" s="10">
        <v>2</v>
      </c>
      <c r="O5" s="61">
        <f t="shared" ref="O5:O8" si="2">100*E5/$J5</f>
        <v>16.981132075471699</v>
      </c>
      <c r="P5" s="61">
        <f t="shared" ref="P5:P8" si="3">100*F5/$J5</f>
        <v>0</v>
      </c>
      <c r="Q5" s="61">
        <f t="shared" ref="Q5:Q8" si="4">100*G5/$J5</f>
        <v>15.09433962264151</v>
      </c>
      <c r="R5" s="30">
        <f t="shared" ref="R5:R8" si="5">H5*100/$J5</f>
        <v>67.924528301886795</v>
      </c>
      <c r="S5" s="30">
        <f t="shared" ref="S5:S8" si="6">I5*100/$J5</f>
        <v>0</v>
      </c>
      <c r="T5" s="6">
        <f t="shared" ref="T5:T8" si="7">J5</f>
        <v>212</v>
      </c>
      <c r="X5" s="1"/>
      <c r="Z5" s="1"/>
      <c r="AA5" s="1"/>
    </row>
    <row r="6" spans="2:28">
      <c r="B6" s="51"/>
      <c r="C6" s="52"/>
      <c r="D6" s="10">
        <v>3</v>
      </c>
      <c r="E6" s="6">
        <f>18*4</f>
        <v>72</v>
      </c>
      <c r="F6" s="6">
        <v>0</v>
      </c>
      <c r="G6" s="6">
        <v>60</v>
      </c>
      <c r="H6" s="6">
        <f>69*4</f>
        <v>276</v>
      </c>
      <c r="I6" s="6">
        <v>0</v>
      </c>
      <c r="J6" s="6">
        <f t="shared" si="1"/>
        <v>408</v>
      </c>
      <c r="L6" s="51"/>
      <c r="M6" s="52"/>
      <c r="N6" s="10">
        <v>3</v>
      </c>
      <c r="O6" s="61">
        <f t="shared" si="2"/>
        <v>17.647058823529413</v>
      </c>
      <c r="P6" s="61">
        <f t="shared" si="3"/>
        <v>0</v>
      </c>
      <c r="Q6" s="61">
        <f t="shared" si="4"/>
        <v>14.705882352941176</v>
      </c>
      <c r="R6" s="30">
        <f t="shared" si="5"/>
        <v>67.647058823529406</v>
      </c>
      <c r="S6" s="30">
        <f t="shared" si="6"/>
        <v>0</v>
      </c>
      <c r="T6" s="6">
        <f t="shared" si="7"/>
        <v>408</v>
      </c>
      <c r="X6" s="1"/>
      <c r="Z6" s="1"/>
      <c r="AA6" s="1"/>
    </row>
    <row r="7" spans="2:28">
      <c r="B7" s="51"/>
      <c r="C7" s="52"/>
      <c r="D7" s="10">
        <v>5</v>
      </c>
      <c r="E7" s="6">
        <f>36*4</f>
        <v>144</v>
      </c>
      <c r="F7" s="6">
        <v>0</v>
      </c>
      <c r="G7" s="6">
        <v>100</v>
      </c>
      <c r="H7" s="6">
        <f>139*4</f>
        <v>556</v>
      </c>
      <c r="I7" s="6">
        <v>0</v>
      </c>
      <c r="J7" s="6">
        <f t="shared" si="1"/>
        <v>800</v>
      </c>
      <c r="L7" s="51"/>
      <c r="M7" s="52"/>
      <c r="N7" s="10">
        <v>5</v>
      </c>
      <c r="O7" s="61">
        <f t="shared" si="2"/>
        <v>18</v>
      </c>
      <c r="P7" s="61">
        <f t="shared" si="3"/>
        <v>0</v>
      </c>
      <c r="Q7" s="61">
        <f t="shared" si="4"/>
        <v>12.5</v>
      </c>
      <c r="R7" s="30">
        <f t="shared" si="5"/>
        <v>69.5</v>
      </c>
      <c r="S7" s="30">
        <f t="shared" si="6"/>
        <v>0</v>
      </c>
      <c r="T7" s="6">
        <f t="shared" si="7"/>
        <v>800</v>
      </c>
      <c r="X7" s="1"/>
      <c r="Z7" s="1"/>
      <c r="AA7" s="1"/>
    </row>
    <row r="8" spans="2:28">
      <c r="B8" s="53"/>
      <c r="C8" s="54"/>
      <c r="D8" s="10">
        <v>15</v>
      </c>
      <c r="E8" s="6">
        <f>126*4</f>
        <v>504</v>
      </c>
      <c r="F8" s="6">
        <v>0</v>
      </c>
      <c r="G8" s="6">
        <f>75*4</f>
        <v>300</v>
      </c>
      <c r="H8" s="6">
        <f>489*4</f>
        <v>1956</v>
      </c>
      <c r="I8" s="6">
        <v>0</v>
      </c>
      <c r="J8" s="6">
        <f t="shared" si="1"/>
        <v>2760</v>
      </c>
      <c r="L8" s="53"/>
      <c r="M8" s="54"/>
      <c r="N8" s="10">
        <v>15</v>
      </c>
      <c r="O8" s="61">
        <f t="shared" si="2"/>
        <v>18.260869565217391</v>
      </c>
      <c r="P8" s="61">
        <f t="shared" si="3"/>
        <v>0</v>
      </c>
      <c r="Q8" s="61">
        <f t="shared" si="4"/>
        <v>10.869565217391305</v>
      </c>
      <c r="R8" s="30">
        <f t="shared" si="5"/>
        <v>70.869565217391298</v>
      </c>
      <c r="S8" s="30">
        <f t="shared" si="6"/>
        <v>0</v>
      </c>
      <c r="T8" s="6">
        <f t="shared" si="7"/>
        <v>2760</v>
      </c>
      <c r="X8" s="1"/>
      <c r="Z8" s="1"/>
      <c r="AA8" s="1"/>
    </row>
    <row r="10" spans="2:28" ht="12.75" customHeight="1"/>
    <row r="11" spans="2:28" ht="12.75" customHeight="1">
      <c r="B11" s="47" t="s">
        <v>7</v>
      </c>
      <c r="C11" s="47"/>
      <c r="E11" s="16" t="s">
        <v>10</v>
      </c>
      <c r="F11" s="17"/>
      <c r="G11" s="17"/>
      <c r="H11" s="17"/>
      <c r="I11" s="18"/>
      <c r="L11" s="47" t="s">
        <v>7</v>
      </c>
      <c r="M11" s="47"/>
      <c r="O11" s="12" t="s">
        <v>12</v>
      </c>
      <c r="P11" s="12"/>
      <c r="Q11" s="12"/>
      <c r="R11" s="12"/>
      <c r="S11" s="12"/>
      <c r="T11" s="12"/>
      <c r="X11" s="2"/>
      <c r="Y11" s="2"/>
      <c r="Z11" s="2"/>
      <c r="AA11" s="2"/>
      <c r="AB11" s="2"/>
    </row>
    <row r="12" spans="2:28" ht="12.75" customHeight="1">
      <c r="B12" s="47"/>
      <c r="C12" s="48"/>
      <c r="D12" s="11" t="s">
        <v>1</v>
      </c>
      <c r="E12" s="11" t="s">
        <v>2</v>
      </c>
      <c r="F12" s="11" t="s">
        <v>3</v>
      </c>
      <c r="G12" s="11" t="s">
        <v>4</v>
      </c>
      <c r="H12" s="11" t="s">
        <v>5</v>
      </c>
      <c r="I12" s="11" t="s">
        <v>6</v>
      </c>
      <c r="J12" s="11" t="s">
        <v>9</v>
      </c>
      <c r="L12" s="47"/>
      <c r="M12" s="48"/>
      <c r="N12" s="11" t="s">
        <v>1</v>
      </c>
      <c r="O12" s="11" t="s">
        <v>2</v>
      </c>
      <c r="P12" s="11" t="s">
        <v>3</v>
      </c>
      <c r="Q12" s="11" t="s">
        <v>4</v>
      </c>
      <c r="R12" s="11" t="s">
        <v>5</v>
      </c>
      <c r="S12" s="11" t="s">
        <v>6</v>
      </c>
      <c r="T12" s="11" t="s">
        <v>9</v>
      </c>
    </row>
    <row r="13" spans="2:28">
      <c r="B13" s="47"/>
      <c r="C13" s="47"/>
      <c r="D13" s="6">
        <v>1</v>
      </c>
      <c r="E13" s="6">
        <v>0</v>
      </c>
      <c r="F13" s="6">
        <v>0</v>
      </c>
      <c r="G13" s="6">
        <v>4</v>
      </c>
      <c r="H13" s="6">
        <v>8</v>
      </c>
      <c r="I13" s="6">
        <v>0</v>
      </c>
      <c r="J13" s="6">
        <f>SUM(E13:I13)</f>
        <v>12</v>
      </c>
      <c r="L13" s="47"/>
      <c r="M13" s="47"/>
      <c r="N13" s="6">
        <v>1</v>
      </c>
      <c r="O13" s="30">
        <f>100*E13/$J13</f>
        <v>0</v>
      </c>
      <c r="P13" s="30">
        <f t="shared" ref="P13:Q13" si="8">100*F13/$J13</f>
        <v>0</v>
      </c>
      <c r="Q13" s="30">
        <f t="shared" si="8"/>
        <v>33.333333333333336</v>
      </c>
      <c r="R13" s="30">
        <f>H13*100/$J13</f>
        <v>66.666666666666671</v>
      </c>
      <c r="S13" s="30">
        <f>I13*100/$J13</f>
        <v>0</v>
      </c>
      <c r="T13" s="6">
        <f>J13</f>
        <v>12</v>
      </c>
      <c r="Z13" s="1"/>
      <c r="AA13" s="1"/>
    </row>
    <row r="14" spans="2:28">
      <c r="B14" s="47"/>
      <c r="C14" s="47"/>
      <c r="D14" s="6">
        <v>2</v>
      </c>
      <c r="E14" s="6">
        <v>16</v>
      </c>
      <c r="F14" s="6">
        <v>0</v>
      </c>
      <c r="G14" s="6">
        <v>8</v>
      </c>
      <c r="H14" s="6">
        <v>48</v>
      </c>
      <c r="I14" s="6">
        <v>0</v>
      </c>
      <c r="J14" s="6">
        <f>SUM(E14:I14)</f>
        <v>72</v>
      </c>
      <c r="L14" s="47"/>
      <c r="M14" s="47"/>
      <c r="N14" s="6">
        <v>2</v>
      </c>
      <c r="O14" s="30">
        <f t="shared" ref="O14:O17" si="9">100*E14/$J14</f>
        <v>22.222222222222221</v>
      </c>
      <c r="P14" s="30">
        <f t="shared" ref="P14:P17" si="10">100*F14/$J14</f>
        <v>0</v>
      </c>
      <c r="Q14" s="30">
        <f t="shared" ref="Q14:Q17" si="11">100*G14/$J14</f>
        <v>11.111111111111111</v>
      </c>
      <c r="R14" s="30">
        <f t="shared" ref="R14:R17" si="12">H14*100/$J14</f>
        <v>66.666666666666671</v>
      </c>
      <c r="S14" s="30">
        <f t="shared" ref="S14:S17" si="13">I14*100/$J14</f>
        <v>0</v>
      </c>
      <c r="T14" s="6">
        <f t="shared" ref="T14:T17" si="14">J14</f>
        <v>72</v>
      </c>
      <c r="X14" s="1"/>
      <c r="Z14" s="1"/>
      <c r="AA14" s="1"/>
    </row>
    <row r="15" spans="2:28">
      <c r="B15" s="47"/>
      <c r="C15" s="47"/>
      <c r="D15" s="6">
        <v>3</v>
      </c>
      <c r="E15" s="6">
        <v>28</v>
      </c>
      <c r="F15" s="6">
        <v>0</v>
      </c>
      <c r="G15" s="6">
        <v>12</v>
      </c>
      <c r="H15" s="6">
        <v>80</v>
      </c>
      <c r="I15" s="6">
        <v>0</v>
      </c>
      <c r="J15" s="6">
        <f>SUM(E15:I15)</f>
        <v>120</v>
      </c>
      <c r="L15" s="47"/>
      <c r="M15" s="47"/>
      <c r="N15" s="6">
        <v>3</v>
      </c>
      <c r="O15" s="30">
        <f t="shared" si="9"/>
        <v>23.333333333333332</v>
      </c>
      <c r="P15" s="30">
        <f t="shared" si="10"/>
        <v>0</v>
      </c>
      <c r="Q15" s="30">
        <f t="shared" si="11"/>
        <v>10</v>
      </c>
      <c r="R15" s="30">
        <f t="shared" si="12"/>
        <v>66.666666666666671</v>
      </c>
      <c r="S15" s="30">
        <f t="shared" si="13"/>
        <v>0</v>
      </c>
      <c r="T15" s="6">
        <f t="shared" si="14"/>
        <v>120</v>
      </c>
      <c r="X15" s="1"/>
      <c r="Z15" s="1"/>
      <c r="AA15" s="1"/>
    </row>
    <row r="16" spans="2:28">
      <c r="B16" s="47"/>
      <c r="C16" s="47"/>
      <c r="D16" s="6">
        <v>5</v>
      </c>
      <c r="E16" s="6">
        <v>40</v>
      </c>
      <c r="F16" s="6">
        <v>0</v>
      </c>
      <c r="G16" s="6">
        <v>20</v>
      </c>
      <c r="H16" s="6">
        <v>120</v>
      </c>
      <c r="I16" s="6">
        <v>0</v>
      </c>
      <c r="J16" s="6">
        <f t="shared" ref="J16:J17" si="15">SUM(E16:I16)</f>
        <v>180</v>
      </c>
      <c r="L16" s="47"/>
      <c r="M16" s="47"/>
      <c r="N16" s="6">
        <v>5</v>
      </c>
      <c r="O16" s="30">
        <f t="shared" si="9"/>
        <v>22.222222222222221</v>
      </c>
      <c r="P16" s="30">
        <f t="shared" si="10"/>
        <v>0</v>
      </c>
      <c r="Q16" s="30">
        <f t="shared" si="11"/>
        <v>11.111111111111111</v>
      </c>
      <c r="R16" s="30">
        <f t="shared" si="12"/>
        <v>66.666666666666671</v>
      </c>
      <c r="S16" s="30">
        <f t="shared" si="13"/>
        <v>0</v>
      </c>
      <c r="T16" s="6">
        <f t="shared" si="14"/>
        <v>180</v>
      </c>
      <c r="X16" s="1"/>
      <c r="Z16" s="1"/>
      <c r="AA16" s="1"/>
    </row>
    <row r="17" spans="2:27" ht="12.75" customHeight="1">
      <c r="B17" s="47"/>
      <c r="C17" s="47"/>
      <c r="D17" s="6">
        <v>15</v>
      </c>
      <c r="E17" s="6">
        <v>80</v>
      </c>
      <c r="F17" s="6">
        <v>0</v>
      </c>
      <c r="G17" s="6">
        <v>60</v>
      </c>
      <c r="H17" s="6">
        <v>280</v>
      </c>
      <c r="I17" s="6">
        <v>0</v>
      </c>
      <c r="J17" s="6">
        <f t="shared" si="15"/>
        <v>420</v>
      </c>
      <c r="L17" s="47"/>
      <c r="M17" s="47"/>
      <c r="N17" s="6">
        <v>15</v>
      </c>
      <c r="O17" s="30">
        <f t="shared" si="9"/>
        <v>19.047619047619047</v>
      </c>
      <c r="P17" s="30">
        <f t="shared" si="10"/>
        <v>0</v>
      </c>
      <c r="Q17" s="30">
        <f t="shared" si="11"/>
        <v>14.285714285714286</v>
      </c>
      <c r="R17" s="30">
        <f t="shared" si="12"/>
        <v>66.666666666666671</v>
      </c>
      <c r="S17" s="30">
        <f t="shared" si="13"/>
        <v>0</v>
      </c>
      <c r="T17" s="6">
        <f t="shared" si="14"/>
        <v>420</v>
      </c>
      <c r="X17" s="1"/>
      <c r="Z17" s="1"/>
      <c r="AA17" s="1"/>
    </row>
    <row r="20" spans="2:27" ht="12.75" customHeight="1">
      <c r="B20" s="47" t="s">
        <v>11</v>
      </c>
      <c r="C20" s="47"/>
      <c r="E20" s="19" t="s">
        <v>10</v>
      </c>
      <c r="F20" s="20"/>
      <c r="G20" s="20"/>
      <c r="H20" s="20"/>
      <c r="I20" s="21"/>
      <c r="L20" s="47" t="s">
        <v>11</v>
      </c>
      <c r="M20" s="47"/>
      <c r="O20" s="32" t="s">
        <v>12</v>
      </c>
      <c r="P20" s="32"/>
      <c r="Q20" s="32"/>
      <c r="R20" s="32"/>
      <c r="S20" s="32"/>
      <c r="T20" s="32"/>
    </row>
    <row r="21" spans="2:27">
      <c r="B21" s="47"/>
      <c r="C21" s="48"/>
      <c r="D21" s="22" t="s">
        <v>1</v>
      </c>
      <c r="E21" s="22" t="s">
        <v>2</v>
      </c>
      <c r="F21" s="22" t="s">
        <v>3</v>
      </c>
      <c r="G21" s="22" t="s">
        <v>4</v>
      </c>
      <c r="H21" s="22" t="s">
        <v>5</v>
      </c>
      <c r="I21" s="22" t="s">
        <v>6</v>
      </c>
      <c r="J21" s="22" t="s">
        <v>9</v>
      </c>
      <c r="L21" s="47"/>
      <c r="M21" s="48"/>
      <c r="N21" s="22" t="s">
        <v>1</v>
      </c>
      <c r="O21" s="22" t="s">
        <v>2</v>
      </c>
      <c r="P21" s="22" t="s">
        <v>3</v>
      </c>
      <c r="Q21" s="22" t="s">
        <v>4</v>
      </c>
      <c r="R21" s="22" t="s">
        <v>5</v>
      </c>
      <c r="S21" s="22" t="s">
        <v>6</v>
      </c>
      <c r="T21" s="22" t="s">
        <v>9</v>
      </c>
    </row>
    <row r="22" spans="2:27">
      <c r="B22" s="47"/>
      <c r="C22" s="47"/>
      <c r="D22" s="6">
        <v>0</v>
      </c>
      <c r="E22" s="6">
        <v>0</v>
      </c>
      <c r="F22" s="6">
        <v>4</v>
      </c>
      <c r="G22" s="6">
        <v>0</v>
      </c>
      <c r="H22" s="6">
        <v>28</v>
      </c>
      <c r="I22" s="6">
        <v>8</v>
      </c>
      <c r="J22" s="6">
        <f>SUM(E22:I22)</f>
        <v>40</v>
      </c>
      <c r="L22" s="47"/>
      <c r="M22" s="47"/>
      <c r="N22" s="6">
        <v>0</v>
      </c>
      <c r="O22" s="30">
        <f>100*E22/$J22</f>
        <v>0</v>
      </c>
      <c r="P22" s="30">
        <f t="shared" ref="P22:Q22" si="16">100*F22/$J22</f>
        <v>10</v>
      </c>
      <c r="Q22" s="30">
        <f t="shared" si="16"/>
        <v>0</v>
      </c>
      <c r="R22" s="30">
        <f>H22*100/$J22</f>
        <v>70</v>
      </c>
      <c r="S22" s="30">
        <f>I22*100/$J22</f>
        <v>20</v>
      </c>
      <c r="T22" s="6">
        <f>J22</f>
        <v>40</v>
      </c>
    </row>
    <row r="23" spans="2:27">
      <c r="B23" s="47"/>
      <c r="C23" s="47"/>
      <c r="D23" s="6">
        <v>2</v>
      </c>
      <c r="E23" s="6">
        <f>69*4</f>
        <v>276</v>
      </c>
      <c r="F23" s="6">
        <v>12</v>
      </c>
      <c r="G23" s="6">
        <v>8</v>
      </c>
      <c r="H23" s="6">
        <f>221*4</f>
        <v>884</v>
      </c>
      <c r="I23" s="6">
        <v>280</v>
      </c>
      <c r="J23" s="6">
        <f>SUM(E23:I23)</f>
        <v>1460</v>
      </c>
      <c r="L23" s="47"/>
      <c r="M23" s="47"/>
      <c r="N23" s="6">
        <v>2</v>
      </c>
      <c r="O23" s="30">
        <f t="shared" ref="O23:O26" si="17">100*E23/$J23</f>
        <v>18.904109589041095</v>
      </c>
      <c r="P23" s="30">
        <f t="shared" ref="P23:P26" si="18">100*F23/$J23</f>
        <v>0.82191780821917804</v>
      </c>
      <c r="Q23" s="30">
        <f t="shared" ref="Q23:Q26" si="19">100*G23/$J23</f>
        <v>0.54794520547945202</v>
      </c>
      <c r="R23" s="30">
        <f t="shared" ref="R23:R26" si="20">H23*100/$J23</f>
        <v>60.547945205479451</v>
      </c>
      <c r="S23" s="30">
        <f t="shared" ref="S23:S26" si="21">I23*100/$J23</f>
        <v>19.17808219178082</v>
      </c>
      <c r="T23" s="6">
        <f t="shared" ref="T23:T26" si="22">J23</f>
        <v>1460</v>
      </c>
    </row>
    <row r="24" spans="2:27" ht="12.75" customHeight="1">
      <c r="B24" s="47"/>
      <c r="C24" s="47"/>
      <c r="D24" s="6">
        <v>4</v>
      </c>
      <c r="E24" s="6">
        <f>219*4</f>
        <v>876</v>
      </c>
      <c r="F24" s="6">
        <f>13*4</f>
        <v>52</v>
      </c>
      <c r="G24" s="6">
        <v>24</v>
      </c>
      <c r="H24" s="6">
        <f>679*4</f>
        <v>2716</v>
      </c>
      <c r="I24" s="6">
        <f>209*4</f>
        <v>836</v>
      </c>
      <c r="J24" s="6">
        <f>SUM(E24:I24)</f>
        <v>4504</v>
      </c>
      <c r="L24" s="47"/>
      <c r="M24" s="47"/>
      <c r="N24" s="6">
        <v>4</v>
      </c>
      <c r="O24" s="30">
        <f t="shared" si="17"/>
        <v>19.449378330373001</v>
      </c>
      <c r="P24" s="30">
        <f t="shared" si="18"/>
        <v>1.1545293072824157</v>
      </c>
      <c r="Q24" s="30">
        <f t="shared" si="19"/>
        <v>0.53285968028419184</v>
      </c>
      <c r="R24" s="30">
        <f t="shared" si="20"/>
        <v>60.301953818827705</v>
      </c>
      <c r="S24" s="30">
        <f t="shared" si="21"/>
        <v>18.561278863232683</v>
      </c>
      <c r="T24" s="6">
        <f t="shared" si="22"/>
        <v>4504</v>
      </c>
    </row>
    <row r="25" spans="2:27">
      <c r="B25" s="47"/>
      <c r="C25" s="47"/>
      <c r="D25" s="6">
        <v>5</v>
      </c>
      <c r="E25" s="6">
        <f>300*4</f>
        <v>1200</v>
      </c>
      <c r="F25" s="6">
        <f>21*4</f>
        <v>84</v>
      </c>
      <c r="G25" s="6">
        <v>32</v>
      </c>
      <c r="H25" s="6">
        <f>923*4</f>
        <v>3692</v>
      </c>
      <c r="I25" s="6">
        <f>280*4</f>
        <v>1120</v>
      </c>
      <c r="J25" s="6">
        <f t="shared" ref="J25:J26" si="23">SUM(E25:I25)</f>
        <v>6128</v>
      </c>
      <c r="L25" s="47"/>
      <c r="M25" s="47"/>
      <c r="N25" s="6">
        <v>5</v>
      </c>
      <c r="O25" s="30">
        <f t="shared" si="17"/>
        <v>19.582245430809401</v>
      </c>
      <c r="P25" s="30">
        <f t="shared" si="18"/>
        <v>1.370757180156658</v>
      </c>
      <c r="Q25" s="30">
        <f t="shared" si="19"/>
        <v>0.52219321148825071</v>
      </c>
      <c r="R25" s="30">
        <f t="shared" si="20"/>
        <v>60.248041775456919</v>
      </c>
      <c r="S25" s="30">
        <f t="shared" si="21"/>
        <v>18.276762402088774</v>
      </c>
      <c r="T25" s="6">
        <f t="shared" si="22"/>
        <v>6128</v>
      </c>
    </row>
    <row r="26" spans="2:27">
      <c r="B26" s="47"/>
      <c r="C26" s="47"/>
      <c r="D26" s="6">
        <v>6</v>
      </c>
      <c r="E26" s="6">
        <f>385*4</f>
        <v>1540</v>
      </c>
      <c r="F26" s="6">
        <f>31*4</f>
        <v>124</v>
      </c>
      <c r="G26" s="6">
        <v>40</v>
      </c>
      <c r="H26" s="6">
        <f>1177*4</f>
        <v>4708</v>
      </c>
      <c r="I26" s="6">
        <f>352*4</f>
        <v>1408</v>
      </c>
      <c r="J26" s="6">
        <f t="shared" si="23"/>
        <v>7820</v>
      </c>
      <c r="L26" s="47"/>
      <c r="M26" s="47"/>
      <c r="N26" s="6">
        <v>6</v>
      </c>
      <c r="O26" s="30">
        <f t="shared" si="17"/>
        <v>19.693094629156011</v>
      </c>
      <c r="P26" s="30">
        <f t="shared" si="18"/>
        <v>1.5856777493606138</v>
      </c>
      <c r="Q26" s="30">
        <f t="shared" si="19"/>
        <v>0.51150895140664965</v>
      </c>
      <c r="R26" s="30">
        <f t="shared" si="20"/>
        <v>60.204603580562662</v>
      </c>
      <c r="S26" s="30">
        <f t="shared" si="21"/>
        <v>18.005115089514067</v>
      </c>
      <c r="T26" s="6">
        <f t="shared" si="22"/>
        <v>7820</v>
      </c>
    </row>
    <row r="27" spans="2:27">
      <c r="B27" s="27"/>
      <c r="C27" s="27"/>
      <c r="D27" s="27"/>
      <c r="E27" s="27"/>
      <c r="F27" s="27"/>
      <c r="G27" s="27"/>
      <c r="H27" s="27"/>
      <c r="I27" s="27"/>
      <c r="J27" s="27"/>
      <c r="L27" s="27"/>
      <c r="M27" s="27"/>
      <c r="N27" s="27"/>
      <c r="O27" s="27"/>
      <c r="P27" s="27"/>
      <c r="Q27" s="27"/>
    </row>
    <row r="28" spans="2:27">
      <c r="D28" s="27"/>
      <c r="E28" s="27"/>
      <c r="F28" s="27"/>
      <c r="G28" s="27"/>
      <c r="H28" s="27"/>
      <c r="I28" s="27"/>
      <c r="J28" s="27"/>
      <c r="N28" s="27"/>
      <c r="O28" s="27"/>
      <c r="P28" s="27"/>
      <c r="Q28" s="27"/>
    </row>
    <row r="29" spans="2:27" ht="12.75" customHeight="1">
      <c r="B29" s="47" t="s">
        <v>8</v>
      </c>
      <c r="C29" s="47"/>
      <c r="E29" s="23" t="s">
        <v>10</v>
      </c>
      <c r="F29" s="24"/>
      <c r="G29" s="24"/>
      <c r="H29" s="24"/>
      <c r="I29" s="25"/>
      <c r="L29" s="47" t="s">
        <v>8</v>
      </c>
      <c r="M29" s="47"/>
      <c r="O29" s="31" t="s">
        <v>12</v>
      </c>
      <c r="P29" s="31"/>
      <c r="Q29" s="31"/>
      <c r="R29" s="31"/>
      <c r="S29" s="31"/>
      <c r="T29" s="31"/>
    </row>
    <row r="30" spans="2:27">
      <c r="B30" s="47"/>
      <c r="C30" s="48"/>
      <c r="D30" s="26" t="s">
        <v>1</v>
      </c>
      <c r="E30" s="26" t="s">
        <v>2</v>
      </c>
      <c r="F30" s="26" t="s">
        <v>3</v>
      </c>
      <c r="G30" s="26" t="s">
        <v>4</v>
      </c>
      <c r="H30" s="26" t="s">
        <v>5</v>
      </c>
      <c r="I30" s="26" t="s">
        <v>6</v>
      </c>
      <c r="J30" s="26" t="s">
        <v>9</v>
      </c>
      <c r="L30" s="47"/>
      <c r="M30" s="48"/>
      <c r="N30" s="26" t="s">
        <v>1</v>
      </c>
      <c r="O30" s="26" t="s">
        <v>2</v>
      </c>
      <c r="P30" s="26" t="s">
        <v>3</v>
      </c>
      <c r="Q30" s="26" t="s">
        <v>4</v>
      </c>
      <c r="R30" s="26" t="s">
        <v>5</v>
      </c>
      <c r="S30" s="26" t="s">
        <v>6</v>
      </c>
      <c r="T30" s="26" t="s">
        <v>9</v>
      </c>
    </row>
    <row r="31" spans="2:27">
      <c r="B31" s="47"/>
      <c r="C31" s="47"/>
      <c r="D31" s="6">
        <v>0</v>
      </c>
      <c r="E31" s="6">
        <v>0</v>
      </c>
      <c r="F31" s="6">
        <v>4</v>
      </c>
      <c r="G31" s="6">
        <v>0</v>
      </c>
      <c r="H31" s="6">
        <v>28</v>
      </c>
      <c r="I31" s="6">
        <v>8</v>
      </c>
      <c r="J31" s="6">
        <f>SUM(E31:I31)</f>
        <v>40</v>
      </c>
      <c r="L31" s="47"/>
      <c r="M31" s="47"/>
      <c r="N31" s="6">
        <v>0</v>
      </c>
      <c r="O31" s="30">
        <f>100*E31/$J31</f>
        <v>0</v>
      </c>
      <c r="P31" s="30">
        <f t="shared" ref="P31:Q31" si="24">100*F31/$J31</f>
        <v>10</v>
      </c>
      <c r="Q31" s="30">
        <f t="shared" si="24"/>
        <v>0</v>
      </c>
      <c r="R31" s="30">
        <f>H31*100/$J31</f>
        <v>70</v>
      </c>
      <c r="S31" s="30">
        <f>I31*100/$J31</f>
        <v>20</v>
      </c>
      <c r="T31" s="6">
        <f>J31</f>
        <v>40</v>
      </c>
    </row>
    <row r="32" spans="2:27">
      <c r="B32" s="47"/>
      <c r="C32" s="47"/>
      <c r="D32" s="6">
        <v>2</v>
      </c>
      <c r="E32" s="6">
        <f>49*4</f>
        <v>196</v>
      </c>
      <c r="F32" s="6">
        <v>12</v>
      </c>
      <c r="G32" s="6">
        <v>8</v>
      </c>
      <c r="H32" s="6">
        <f>164*4</f>
        <v>656</v>
      </c>
      <c r="I32" s="6">
        <f>51*4</f>
        <v>204</v>
      </c>
      <c r="J32" s="6">
        <f t="shared" ref="J32:J35" si="25">SUM(E32:I32)</f>
        <v>1076</v>
      </c>
      <c r="L32" s="47"/>
      <c r="M32" s="47"/>
      <c r="N32" s="6">
        <v>2</v>
      </c>
      <c r="O32" s="30">
        <f t="shared" ref="O32:O35" si="26">100*E32/$J32</f>
        <v>18.21561338289963</v>
      </c>
      <c r="P32" s="30">
        <f t="shared" ref="P32:P35" si="27">100*F32/$J32</f>
        <v>1.1152416356877324</v>
      </c>
      <c r="Q32" s="30">
        <f t="shared" ref="Q32:Q35" si="28">100*G32/$J32</f>
        <v>0.74349442379182151</v>
      </c>
      <c r="R32" s="30">
        <f t="shared" ref="R32:R35" si="29">H32*100/$J32</f>
        <v>60.966542750929371</v>
      </c>
      <c r="S32" s="30">
        <f t="shared" ref="S32:S35" si="30">I32*100/$J32</f>
        <v>18.959107806691449</v>
      </c>
      <c r="T32" s="6">
        <f t="shared" ref="T32:T35" si="31">J32</f>
        <v>1076</v>
      </c>
    </row>
    <row r="33" spans="2:28">
      <c r="B33" s="47"/>
      <c r="C33" s="47"/>
      <c r="D33" s="6">
        <v>4</v>
      </c>
      <c r="E33" s="6">
        <f>156*4</f>
        <v>624</v>
      </c>
      <c r="F33" s="6">
        <f>13*4</f>
        <v>52</v>
      </c>
      <c r="G33" s="6">
        <v>24</v>
      </c>
      <c r="H33" s="6">
        <f>508*4</f>
        <v>2032</v>
      </c>
      <c r="I33" s="6">
        <f>152*4</f>
        <v>608</v>
      </c>
      <c r="J33" s="6">
        <f t="shared" si="25"/>
        <v>3340</v>
      </c>
      <c r="L33" s="47"/>
      <c r="M33" s="47"/>
      <c r="N33" s="6">
        <v>4</v>
      </c>
      <c r="O33" s="30">
        <f t="shared" si="26"/>
        <v>18.682634730538922</v>
      </c>
      <c r="P33" s="30">
        <f t="shared" si="27"/>
        <v>1.5568862275449102</v>
      </c>
      <c r="Q33" s="30">
        <f t="shared" si="28"/>
        <v>0.71856287425149701</v>
      </c>
      <c r="R33" s="30">
        <f t="shared" si="29"/>
        <v>60.838323353293411</v>
      </c>
      <c r="S33" s="30">
        <f t="shared" si="30"/>
        <v>18.203592814371259</v>
      </c>
      <c r="T33" s="6">
        <f t="shared" si="31"/>
        <v>3340</v>
      </c>
    </row>
    <row r="34" spans="2:28">
      <c r="B34" s="47"/>
      <c r="C34" s="47"/>
      <c r="D34" s="6">
        <v>5</v>
      </c>
      <c r="E34" s="6">
        <f>214*4</f>
        <v>856</v>
      </c>
      <c r="F34" s="6">
        <f>21*4</f>
        <v>84</v>
      </c>
      <c r="G34" s="6">
        <v>32</v>
      </c>
      <c r="H34" s="6">
        <f>695*4</f>
        <v>2780</v>
      </c>
      <c r="I34" s="6">
        <f>204*4</f>
        <v>816</v>
      </c>
      <c r="J34" s="6">
        <f t="shared" si="25"/>
        <v>4568</v>
      </c>
      <c r="L34" s="47"/>
      <c r="M34" s="47"/>
      <c r="N34" s="6">
        <v>5</v>
      </c>
      <c r="O34" s="30">
        <f t="shared" si="26"/>
        <v>18.739054290718038</v>
      </c>
      <c r="P34" s="30">
        <f t="shared" si="27"/>
        <v>1.8388791593695271</v>
      </c>
      <c r="Q34" s="30">
        <f t="shared" si="28"/>
        <v>0.70052539404553416</v>
      </c>
      <c r="R34" s="30">
        <f t="shared" si="29"/>
        <v>60.858143607705777</v>
      </c>
      <c r="S34" s="30">
        <f t="shared" si="30"/>
        <v>17.863397548161121</v>
      </c>
      <c r="T34" s="6">
        <f t="shared" si="31"/>
        <v>4568</v>
      </c>
    </row>
    <row r="35" spans="2:28" ht="12.75" customHeight="1">
      <c r="B35" s="47"/>
      <c r="C35" s="47"/>
      <c r="D35" s="6">
        <v>6</v>
      </c>
      <c r="E35" s="6">
        <f>275*4</f>
        <v>1100</v>
      </c>
      <c r="F35" s="6">
        <f>31*4</f>
        <v>124</v>
      </c>
      <c r="G35" s="6">
        <v>40</v>
      </c>
      <c r="H35" s="6">
        <f>892*4</f>
        <v>3568</v>
      </c>
      <c r="I35" s="6">
        <f>257*4</f>
        <v>1028</v>
      </c>
      <c r="J35" s="6">
        <f t="shared" si="25"/>
        <v>5860</v>
      </c>
      <c r="L35" s="47"/>
      <c r="M35" s="47"/>
      <c r="N35" s="6">
        <v>6</v>
      </c>
      <c r="O35" s="30">
        <f t="shared" si="26"/>
        <v>18.771331058020479</v>
      </c>
      <c r="P35" s="30">
        <f t="shared" si="27"/>
        <v>2.1160409556313993</v>
      </c>
      <c r="Q35" s="30">
        <f t="shared" si="28"/>
        <v>0.68259385665529015</v>
      </c>
      <c r="R35" s="30">
        <f t="shared" si="29"/>
        <v>60.887372013651877</v>
      </c>
      <c r="S35" s="30">
        <f t="shared" si="30"/>
        <v>17.542662116040955</v>
      </c>
      <c r="T35" s="6">
        <f t="shared" si="31"/>
        <v>5860</v>
      </c>
    </row>
    <row r="36" spans="2:28">
      <c r="E36" s="2"/>
      <c r="F36" s="2"/>
      <c r="G36" s="2"/>
      <c r="H36" s="2"/>
      <c r="I36" s="2"/>
      <c r="L36" s="2"/>
      <c r="M36" s="2"/>
      <c r="N36" s="2"/>
      <c r="O36" s="2"/>
      <c r="P36" s="2"/>
      <c r="Q36" s="2"/>
      <c r="R36" s="2"/>
      <c r="S36" s="2"/>
      <c r="X36" s="2"/>
      <c r="Y36" s="2"/>
      <c r="Z36" s="2"/>
      <c r="AA36" s="2"/>
      <c r="AB36" s="2"/>
    </row>
    <row r="38" spans="2:28">
      <c r="Y38" s="1"/>
      <c r="Z38" s="1"/>
      <c r="AA38" s="1"/>
    </row>
    <row r="39" spans="2:28">
      <c r="B39" s="49" t="s">
        <v>0</v>
      </c>
      <c r="C39" s="50"/>
      <c r="D39" s="4"/>
      <c r="E39" s="33" t="s">
        <v>15</v>
      </c>
      <c r="F39" s="33"/>
      <c r="G39" s="33"/>
      <c r="X39" s="1"/>
      <c r="Y39" s="1"/>
      <c r="Z39" s="1"/>
      <c r="AA39" s="1"/>
      <c r="AB39" s="1"/>
    </row>
    <row r="40" spans="2:28">
      <c r="B40" s="51"/>
      <c r="C40" s="52"/>
      <c r="D40" s="9" t="s">
        <v>1</v>
      </c>
      <c r="E40" s="8" t="s">
        <v>14</v>
      </c>
      <c r="F40" s="8" t="s">
        <v>13</v>
      </c>
      <c r="G40" s="8" t="s">
        <v>16</v>
      </c>
      <c r="X40" s="1"/>
      <c r="Y40" s="1"/>
      <c r="Z40" s="1"/>
      <c r="AA40" s="1"/>
      <c r="AB40" s="1"/>
    </row>
    <row r="41" spans="2:28">
      <c r="B41" s="51"/>
      <c r="C41" s="52"/>
      <c r="D41" s="10">
        <v>1</v>
      </c>
      <c r="E41" s="29">
        <f>20/8</f>
        <v>2.5</v>
      </c>
      <c r="F41" s="29">
        <v>2.5</v>
      </c>
      <c r="G41" s="30">
        <f>100* (E41-F41)/E41</f>
        <v>0</v>
      </c>
      <c r="X41" s="1"/>
      <c r="Y41" s="1"/>
      <c r="Z41" s="1"/>
      <c r="AA41" s="1"/>
      <c r="AB41" s="1"/>
    </row>
    <row r="42" spans="2:28">
      <c r="B42" s="51"/>
      <c r="C42" s="52"/>
      <c r="D42" s="10">
        <v>2</v>
      </c>
      <c r="E42" s="29">
        <f>361/149</f>
        <v>2.4228187919463089</v>
      </c>
      <c r="F42" s="29">
        <v>1.5640000000000001</v>
      </c>
      <c r="G42" s="30">
        <f t="shared" ref="G42:G45" si="32">100* (E42-F42)/E42</f>
        <v>35.447091412742381</v>
      </c>
      <c r="X42" s="1"/>
      <c r="Y42" s="1"/>
      <c r="Z42" s="1"/>
      <c r="AA42" s="1"/>
      <c r="AB42" s="1"/>
    </row>
    <row r="43" spans="2:28">
      <c r="B43" s="51"/>
      <c r="C43" s="52"/>
      <c r="D43" s="10">
        <v>3</v>
      </c>
      <c r="E43" s="29">
        <f>695/287</f>
        <v>2.4216027874564459</v>
      </c>
      <c r="F43" s="29">
        <v>1.53</v>
      </c>
      <c r="G43" s="30">
        <f t="shared" si="32"/>
        <v>36.81870503597122</v>
      </c>
    </row>
    <row r="44" spans="2:28">
      <c r="B44" s="51"/>
      <c r="C44" s="52"/>
      <c r="D44" s="10">
        <v>5</v>
      </c>
      <c r="E44" s="29">
        <f>1375/575</f>
        <v>2.3913043478260869</v>
      </c>
      <c r="F44" s="29">
        <v>1.492</v>
      </c>
      <c r="G44" s="30">
        <f t="shared" si="32"/>
        <v>37.607272727272729</v>
      </c>
    </row>
    <row r="45" spans="2:28">
      <c r="B45" s="53"/>
      <c r="C45" s="54"/>
      <c r="D45" s="10">
        <v>15</v>
      </c>
      <c r="E45" s="42">
        <f>4775/2015</f>
        <v>2.369727047146402</v>
      </c>
      <c r="F45" s="42">
        <v>1.4330000000000001</v>
      </c>
      <c r="G45" s="30">
        <f t="shared" si="32"/>
        <v>39.52890052356021</v>
      </c>
      <c r="H45" s="35"/>
      <c r="I45" s="35"/>
      <c r="L45" s="2"/>
      <c r="M45" s="2"/>
      <c r="N45" s="2"/>
      <c r="O45" s="2"/>
      <c r="P45" s="2"/>
      <c r="Q45" s="2"/>
      <c r="R45" s="2"/>
      <c r="S45" s="2"/>
      <c r="X45" s="2"/>
      <c r="Y45" s="2"/>
      <c r="Z45" s="2"/>
      <c r="AA45" s="2"/>
      <c r="AB45" s="2"/>
    </row>
    <row r="47" spans="2:28">
      <c r="Y47" s="1"/>
      <c r="Z47" s="1"/>
      <c r="AA47" s="1"/>
      <c r="AB47" s="1"/>
    </row>
    <row r="48" spans="2:28">
      <c r="B48" s="47" t="s">
        <v>7</v>
      </c>
      <c r="C48" s="47"/>
      <c r="E48" s="37" t="s">
        <v>15</v>
      </c>
      <c r="F48" s="37"/>
      <c r="G48" s="37"/>
      <c r="X48" s="1"/>
      <c r="Y48" s="1"/>
      <c r="Z48" s="1"/>
      <c r="AA48" s="1"/>
      <c r="AB48" s="1"/>
    </row>
    <row r="49" spans="2:28">
      <c r="B49" s="47"/>
      <c r="C49" s="48"/>
      <c r="D49" s="11" t="s">
        <v>1</v>
      </c>
      <c r="E49" s="11" t="s">
        <v>14</v>
      </c>
      <c r="F49" s="11" t="s">
        <v>13</v>
      </c>
      <c r="G49" s="43" t="s">
        <v>16</v>
      </c>
      <c r="X49" s="1"/>
      <c r="Y49" s="1"/>
      <c r="Z49" s="1"/>
      <c r="AA49" s="1"/>
      <c r="AB49" s="1"/>
    </row>
    <row r="50" spans="2:28">
      <c r="B50" s="47"/>
      <c r="C50" s="47"/>
      <c r="D50" s="6">
        <v>1</v>
      </c>
      <c r="E50" s="28">
        <f>12/9</f>
        <v>1.3333333333333333</v>
      </c>
      <c r="F50" s="6">
        <v>1.923</v>
      </c>
      <c r="G50" s="30">
        <f>100*(E50-F50)/E50</f>
        <v>-44.225000000000009</v>
      </c>
      <c r="X50" s="1"/>
      <c r="Y50" s="1"/>
      <c r="Z50" s="1"/>
      <c r="AA50" s="1"/>
      <c r="AB50" s="1"/>
    </row>
    <row r="51" spans="2:28">
      <c r="B51" s="47"/>
      <c r="C51" s="47"/>
      <c r="D51" s="6">
        <v>2</v>
      </c>
      <c r="E51" s="28">
        <f>72/51</f>
        <v>1.411764705882353</v>
      </c>
      <c r="F51" s="6">
        <v>1.655</v>
      </c>
      <c r="G51" s="30">
        <f t="shared" ref="G51:G54" si="33">100*(E51-F51)/E51</f>
        <v>-17.229166666666661</v>
      </c>
      <c r="X51" s="1"/>
      <c r="Y51" s="1"/>
      <c r="Z51" s="1"/>
      <c r="AA51" s="1"/>
      <c r="AB51" s="1"/>
    </row>
    <row r="52" spans="2:28">
      <c r="B52" s="47"/>
      <c r="C52" s="47"/>
      <c r="D52" s="6">
        <v>3</v>
      </c>
      <c r="E52" s="28">
        <f>120/83</f>
        <v>1.4457831325301205</v>
      </c>
      <c r="F52" s="6">
        <v>1.649</v>
      </c>
      <c r="G52" s="30">
        <f t="shared" si="33"/>
        <v>-14.055833333333334</v>
      </c>
    </row>
    <row r="53" spans="2:28">
      <c r="B53" s="47"/>
      <c r="C53" s="47"/>
      <c r="D53" s="6">
        <v>5</v>
      </c>
      <c r="E53" s="28">
        <f>180/123</f>
        <v>1.4634146341463414</v>
      </c>
      <c r="F53" s="6">
        <v>1.661</v>
      </c>
      <c r="G53" s="30">
        <f t="shared" si="33"/>
        <v>-13.501666666666672</v>
      </c>
    </row>
    <row r="54" spans="2:28">
      <c r="B54" s="47"/>
      <c r="C54" s="47"/>
      <c r="D54" s="6">
        <v>15</v>
      </c>
      <c r="E54" s="28">
        <f>420/283</f>
        <v>1.4840989399293287</v>
      </c>
      <c r="F54" s="6">
        <v>1.7110000000000001</v>
      </c>
      <c r="G54" s="30">
        <f t="shared" si="33"/>
        <v>-15.288809523809523</v>
      </c>
    </row>
    <row r="57" spans="2:28">
      <c r="B57" s="47" t="s">
        <v>11</v>
      </c>
      <c r="C57" s="47"/>
      <c r="E57" s="39" t="s">
        <v>15</v>
      </c>
      <c r="F57" s="39"/>
      <c r="G57" s="39"/>
    </row>
    <row r="58" spans="2:28">
      <c r="B58" s="47"/>
      <c r="C58" s="48"/>
      <c r="D58" s="22" t="s">
        <v>1</v>
      </c>
      <c r="E58" s="22" t="s">
        <v>14</v>
      </c>
      <c r="F58" s="22" t="s">
        <v>13</v>
      </c>
      <c r="G58" s="44" t="s">
        <v>16</v>
      </c>
    </row>
    <row r="59" spans="2:28">
      <c r="B59" s="47"/>
      <c r="C59" s="47"/>
      <c r="D59" s="6">
        <v>0</v>
      </c>
      <c r="E59" s="28">
        <f>61/21</f>
        <v>2.9047619047619047</v>
      </c>
      <c r="F59" s="28">
        <v>1.64</v>
      </c>
      <c r="G59" s="30">
        <f>100*(E59-F59)/E59</f>
        <v>43.540983606557383</v>
      </c>
    </row>
    <row r="60" spans="2:28">
      <c r="B60" s="47"/>
      <c r="C60" s="47"/>
      <c r="D60" s="6">
        <v>2</v>
      </c>
      <c r="E60" s="28">
        <f>2402/942</f>
        <v>2.5498938428874736</v>
      </c>
      <c r="F60" s="6">
        <v>1.4877</v>
      </c>
      <c r="G60" s="30">
        <f t="shared" ref="G60:G63" si="34">100*(E60-F60)/E60</f>
        <v>41.656394671107407</v>
      </c>
    </row>
    <row r="61" spans="2:28">
      <c r="B61" s="47"/>
      <c r="C61" s="47"/>
      <c r="D61" s="6">
        <v>4</v>
      </c>
      <c r="E61" s="28">
        <f>7420/2916</f>
        <v>2.5445816186556929</v>
      </c>
      <c r="F61" s="6">
        <v>1.4925999999999999</v>
      </c>
      <c r="G61" s="30">
        <f t="shared" si="34"/>
        <v>41.342026954177904</v>
      </c>
    </row>
    <row r="62" spans="2:28">
      <c r="B62" s="47"/>
      <c r="C62" s="47"/>
      <c r="D62" s="6">
        <v>5</v>
      </c>
      <c r="E62" s="41">
        <f>10097/3969</f>
        <v>2.5439657344419251</v>
      </c>
      <c r="F62" s="36">
        <v>1.4956</v>
      </c>
      <c r="G62" s="30">
        <f t="shared" si="34"/>
        <v>41.209899970288205</v>
      </c>
    </row>
    <row r="63" spans="2:28">
      <c r="B63" s="47"/>
      <c r="C63" s="47"/>
      <c r="D63" s="6">
        <v>6</v>
      </c>
      <c r="E63" s="41">
        <f>12886/5066</f>
        <v>2.5436241610738257</v>
      </c>
      <c r="F63" s="36">
        <v>1.4967999999999999</v>
      </c>
      <c r="G63" s="30">
        <f t="shared" si="34"/>
        <v>41.154828496042221</v>
      </c>
    </row>
    <row r="64" spans="2:28">
      <c r="B64" s="27"/>
      <c r="C64" s="27"/>
      <c r="D64" s="27"/>
    </row>
    <row r="65" spans="2:9">
      <c r="D65" s="27"/>
    </row>
    <row r="66" spans="2:9">
      <c r="B66" s="47" t="s">
        <v>8</v>
      </c>
      <c r="C66" s="47"/>
      <c r="E66" s="40" t="s">
        <v>15</v>
      </c>
      <c r="F66" s="40"/>
      <c r="G66" s="40"/>
    </row>
    <row r="67" spans="2:9">
      <c r="B67" s="47"/>
      <c r="C67" s="48"/>
      <c r="D67" s="26" t="s">
        <v>1</v>
      </c>
      <c r="E67" s="45" t="s">
        <v>14</v>
      </c>
      <c r="F67" s="45" t="s">
        <v>13</v>
      </c>
      <c r="G67" s="46" t="s">
        <v>16</v>
      </c>
    </row>
    <row r="68" spans="2:9">
      <c r="B68" s="47"/>
      <c r="C68" s="47"/>
      <c r="D68" s="6">
        <v>0</v>
      </c>
      <c r="E68" s="28">
        <f>61/21</f>
        <v>2.9047619047619047</v>
      </c>
      <c r="F68" s="28">
        <v>1.64</v>
      </c>
      <c r="G68" s="30">
        <f>100*(E68-F68)/E68</f>
        <v>43.540983606557383</v>
      </c>
    </row>
    <row r="69" spans="2:9">
      <c r="B69" s="47"/>
      <c r="C69" s="47"/>
      <c r="D69" s="6">
        <v>2</v>
      </c>
      <c r="E69" s="28">
        <f>1770/694</f>
        <v>2.5504322766570606</v>
      </c>
      <c r="F69" s="28">
        <v>1.49</v>
      </c>
      <c r="G69" s="30">
        <f t="shared" ref="G69:G72" si="35">100*(E69-F69)/E69</f>
        <v>41.578531073446335</v>
      </c>
    </row>
    <row r="70" spans="2:9">
      <c r="B70" s="47"/>
      <c r="C70" s="47"/>
      <c r="D70" s="6">
        <v>4</v>
      </c>
      <c r="E70" s="28">
        <f>5509/2169</f>
        <v>2.5398801290917472</v>
      </c>
      <c r="F70" s="6">
        <v>1.4925999999999999</v>
      </c>
      <c r="G70" s="30">
        <f t="shared" si="35"/>
        <v>41.233447086585585</v>
      </c>
    </row>
    <row r="71" spans="2:9">
      <c r="B71" s="47"/>
      <c r="C71" s="47"/>
      <c r="D71" s="6">
        <v>5</v>
      </c>
      <c r="E71" s="41">
        <f>7539/2971</f>
        <v>2.5375294513631772</v>
      </c>
      <c r="F71" s="36">
        <v>1.4948999999999999</v>
      </c>
      <c r="G71" s="30">
        <f t="shared" si="35"/>
        <v>41.088368483883805</v>
      </c>
    </row>
    <row r="72" spans="2:9">
      <c r="B72" s="47"/>
      <c r="C72" s="47"/>
      <c r="D72" s="6">
        <v>6</v>
      </c>
      <c r="E72" s="41">
        <f>9676/3816</f>
        <v>2.5356394129979036</v>
      </c>
      <c r="F72" s="36">
        <v>1.4971000000000001</v>
      </c>
      <c r="G72" s="30">
        <f t="shared" si="35"/>
        <v>40.957693261678379</v>
      </c>
    </row>
    <row r="75" spans="2:9" ht="15">
      <c r="E75" s="4"/>
      <c r="F75" s="55" t="s">
        <v>21</v>
      </c>
      <c r="G75" s="55"/>
      <c r="H75" s="55"/>
      <c r="I75" s="55"/>
    </row>
    <row r="76" spans="2:9">
      <c r="E76" s="56" t="s">
        <v>1</v>
      </c>
      <c r="F76" s="34" t="s">
        <v>17</v>
      </c>
      <c r="G76" s="57" t="s">
        <v>18</v>
      </c>
      <c r="H76" s="38" t="s">
        <v>19</v>
      </c>
      <c r="I76" s="58" t="s">
        <v>20</v>
      </c>
    </row>
    <row r="77" spans="2:9">
      <c r="E77" s="6">
        <v>0</v>
      </c>
      <c r="F77" s="30">
        <v>57.14</v>
      </c>
      <c r="G77" s="30">
        <v>72.73</v>
      </c>
      <c r="H77" s="30">
        <v>65.569999999999993</v>
      </c>
      <c r="I77" s="30">
        <v>65.569999999999993</v>
      </c>
    </row>
    <row r="78" spans="2:9">
      <c r="E78" s="6">
        <v>1</v>
      </c>
      <c r="F78" s="30">
        <v>60</v>
      </c>
      <c r="G78" s="30">
        <v>57.14</v>
      </c>
      <c r="H78" s="30">
        <v>65.569999999999993</v>
      </c>
      <c r="I78" s="30">
        <v>65.569999999999993</v>
      </c>
    </row>
    <row r="79" spans="2:9">
      <c r="E79" s="6">
        <v>2</v>
      </c>
      <c r="F79" s="30">
        <v>58.73</v>
      </c>
      <c r="G79" s="30">
        <v>58.54</v>
      </c>
      <c r="H79" s="30">
        <v>60.78</v>
      </c>
      <c r="I79" s="30">
        <v>60.79</v>
      </c>
    </row>
    <row r="80" spans="2:9">
      <c r="E80" s="6">
        <v>3</v>
      </c>
      <c r="F80" s="30">
        <v>58.71</v>
      </c>
      <c r="G80" s="30">
        <v>59.11</v>
      </c>
      <c r="H80" s="30">
        <v>60.72</v>
      </c>
      <c r="I80" s="30">
        <v>60.68</v>
      </c>
    </row>
    <row r="81" spans="5:9">
      <c r="E81" s="6">
        <v>4</v>
      </c>
      <c r="F81" s="30">
        <v>58.36</v>
      </c>
      <c r="G81" s="30">
        <v>59.32</v>
      </c>
      <c r="H81" s="30">
        <v>60.7</v>
      </c>
      <c r="I81" s="30">
        <v>60.63</v>
      </c>
    </row>
    <row r="82" spans="5:9">
      <c r="E82" s="6">
        <v>5</v>
      </c>
      <c r="F82" s="30">
        <v>58.18</v>
      </c>
      <c r="G82" s="30">
        <v>59.41</v>
      </c>
      <c r="H82" s="30">
        <v>60.69</v>
      </c>
      <c r="I82" s="30">
        <v>60.59</v>
      </c>
    </row>
    <row r="83" spans="5:9">
      <c r="E83" s="59" t="s">
        <v>22</v>
      </c>
      <c r="F83" s="60">
        <f>AVERAGE(F77:F82)</f>
        <v>58.52</v>
      </c>
      <c r="G83" s="60">
        <f>AVERAGE(G77:G82)</f>
        <v>61.041666666666664</v>
      </c>
      <c r="H83" s="60">
        <f>AVERAGE(H77:H82)</f>
        <v>62.338333333333331</v>
      </c>
      <c r="I83" s="60">
        <f>AVERAGE(I77:I82)</f>
        <v>62.305000000000007</v>
      </c>
    </row>
  </sheetData>
  <mergeCells count="32">
    <mergeCell ref="F75:I75"/>
    <mergeCell ref="O2:T2"/>
    <mergeCell ref="O11:T11"/>
    <mergeCell ref="O20:T20"/>
    <mergeCell ref="O29:T29"/>
    <mergeCell ref="B66:C72"/>
    <mergeCell ref="E39:G39"/>
    <mergeCell ref="E48:G48"/>
    <mergeCell ref="E66:G66"/>
    <mergeCell ref="E57:G57"/>
    <mergeCell ref="B39:C45"/>
    <mergeCell ref="B48:C54"/>
    <mergeCell ref="B57:C63"/>
    <mergeCell ref="B20:C26"/>
    <mergeCell ref="E20:I20"/>
    <mergeCell ref="B29:C35"/>
    <mergeCell ref="E29:I29"/>
    <mergeCell ref="L2:M8"/>
    <mergeCell ref="L11:M17"/>
    <mergeCell ref="L20:M26"/>
    <mergeCell ref="L29:M35"/>
    <mergeCell ref="B11:C17"/>
    <mergeCell ref="B2:C8"/>
    <mergeCell ref="E2:I2"/>
    <mergeCell ref="X2:AB2"/>
    <mergeCell ref="E11:I11"/>
    <mergeCell ref="X11:AB11"/>
    <mergeCell ref="E36:I36"/>
    <mergeCell ref="L36:S36"/>
    <mergeCell ref="X36:AB36"/>
    <mergeCell ref="L45:S45"/>
    <mergeCell ref="X45:AB45"/>
  </mergeCells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  <ignoredErrors>
    <ignoredError sqref="J13:J17 J4 J22 J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Dustin</dc:creator>
  <cp:lastModifiedBy>Ben Dustin</cp:lastModifiedBy>
  <cp:revision>2</cp:revision>
  <dcterms:created xsi:type="dcterms:W3CDTF">2025-12-03T08:47:50Z</dcterms:created>
  <dcterms:modified xsi:type="dcterms:W3CDTF">2025-12-05T01:53:00Z</dcterms:modified>
</cp:coreProperties>
</file>